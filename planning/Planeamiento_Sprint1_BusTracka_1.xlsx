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3e34dad07cdacf0/Documentos/Desktop/Ulima/Cursos/26-2/Soft 2/"/>
    </mc:Choice>
  </mc:AlternateContent>
  <xr:revisionPtr revIDLastSave="1" documentId="13_ncr:1_{7B801E2D-2B9C-4600-96B1-AEE6BF2E81CE}" xr6:coauthVersionLast="47" xr6:coauthVersionMax="47" xr10:uidLastSave="{8FA824AE-E414-4D7F-9EDD-D573650B61EC}"/>
  <bookViews>
    <workbookView xWindow="-108" yWindow="-108" windowWidth="23256" windowHeight="12456" tabRatio="500" activeTab="3" xr2:uid="{00000000-000D-0000-FFFF-FFFF00000000}"/>
  </bookViews>
  <sheets>
    <sheet name="Product Backlog" sheetId="2" r:id="rId1"/>
    <sheet name="Sprint Goal" sheetId="1" r:id="rId2"/>
    <sheet name="Sprint Backlog" sheetId="3" r:id="rId3"/>
    <sheet name="Sprint Backlog (2)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3" l="1"/>
  <c r="G41" i="4"/>
  <c r="F41" i="4"/>
  <c r="E11" i="4"/>
  <c r="D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C11" i="4" s="1"/>
  <c r="B8" i="4"/>
  <c r="F7" i="4"/>
  <c r="E7" i="4"/>
  <c r="D7" i="4"/>
  <c r="C7" i="4"/>
  <c r="B7" i="4"/>
  <c r="F6" i="4"/>
  <c r="E6" i="4"/>
  <c r="D6" i="4"/>
  <c r="C6" i="4"/>
  <c r="B6" i="4"/>
  <c r="G41" i="3"/>
  <c r="F21" i="1" s="1"/>
  <c r="F41" i="3"/>
  <c r="F20" i="1" s="1"/>
  <c r="F22" i="1" s="1"/>
  <c r="E11" i="3"/>
  <c r="D11" i="3"/>
  <c r="C11" i="3"/>
  <c r="F10" i="3"/>
  <c r="E10" i="3"/>
  <c r="D10" i="3"/>
  <c r="C10" i="3"/>
  <c r="F9" i="3"/>
  <c r="E9" i="3"/>
  <c r="D9" i="3"/>
  <c r="C9" i="3"/>
  <c r="B9" i="3"/>
  <c r="F8" i="3"/>
  <c r="E8" i="3"/>
  <c r="D8" i="3"/>
  <c r="C8" i="3"/>
  <c r="B8" i="3"/>
  <c r="F7" i="3"/>
  <c r="G6" i="2" s="1"/>
  <c r="E7" i="3"/>
  <c r="D7" i="3"/>
  <c r="C7" i="3"/>
  <c r="B7" i="3"/>
  <c r="F6" i="3"/>
  <c r="E6" i="3"/>
  <c r="D6" i="3"/>
  <c r="C6" i="3"/>
  <c r="B6" i="3"/>
  <c r="G9" i="2"/>
  <c r="G8" i="2"/>
  <c r="G7" i="2"/>
  <c r="G5" i="2"/>
  <c r="F18" i="1"/>
  <c r="F17" i="1"/>
  <c r="F19" i="1" s="1"/>
  <c r="F16" i="1"/>
  <c r="F15" i="1"/>
  <c r="C9" i="1"/>
</calcChain>
</file>

<file path=xl/sharedStrings.xml><?xml version="1.0" encoding="utf-8"?>
<sst xmlns="http://schemas.openxmlformats.org/spreadsheetml/2006/main" count="478" uniqueCount="172">
  <si>
    <t>BusTracka - Planeamiento del Sprint 1</t>
  </si>
  <si>
    <t>Producto</t>
  </si>
  <si>
    <t>BusTracka - seguimiento de buses</t>
  </si>
  <si>
    <t>Sprint</t>
  </si>
  <si>
    <t>Fecha de inicio</t>
  </si>
  <si>
    <t>Fecha de fin</t>
  </si>
  <si>
    <t>Duracion (dias)</t>
  </si>
  <si>
    <t>Sprint Goal</t>
  </si>
  <si>
    <t>Equipo de desarrollo</t>
  </si>
  <si>
    <t>Indicadores del sprint</t>
  </si>
  <si>
    <t>Integrante</t>
  </si>
  <si>
    <t>Rol en el sprint</t>
  </si>
  <si>
    <t>Historias de usuario comprometidas</t>
  </si>
  <si>
    <t>Alessandra Cosette Mañuico Jáuregui</t>
  </si>
  <si>
    <t>Base de datos y capa de persistencia</t>
  </si>
  <si>
    <t>Puntos comprometidos</t>
  </si>
  <si>
    <t>Alvaro Diego Mera Incio</t>
  </si>
  <si>
    <t>Frontend React</t>
  </si>
  <si>
    <t>Tareas totales</t>
  </si>
  <si>
    <t>David Eduardo Vilela Rivera</t>
  </si>
  <si>
    <t>Pruebas, documentacion y demas tareas</t>
  </si>
  <si>
    <t>Tareas hechas</t>
  </si>
  <si>
    <t>Reaid Yusef Barreto Ibrahim</t>
  </si>
  <si>
    <t>Backend: API de autenticacion y JWT</t>
  </si>
  <si>
    <t>Avance por tareas</t>
  </si>
  <si>
    <t>Horas estimadas</t>
  </si>
  <si>
    <t>Horas restantes</t>
  </si>
  <si>
    <t>Avance por horas</t>
  </si>
  <si>
    <t>Product Backlog - BusTracka</t>
  </si>
  <si>
    <t>ID</t>
  </si>
  <si>
    <t>Historia de usuario</t>
  </si>
  <si>
    <t>Requisito</t>
  </si>
  <si>
    <t>Prioridad</t>
  </si>
  <si>
    <t>Puntos</t>
  </si>
  <si>
    <t>Estado</t>
  </si>
  <si>
    <t>Criterios de aceptacion</t>
  </si>
  <si>
    <t>HU-01</t>
  </si>
  <si>
    <t>RF1</t>
  </si>
  <si>
    <t>Alta</t>
  </si>
  <si>
    <t>HU-02</t>
  </si>
  <si>
    <t>RF2</t>
  </si>
  <si>
    <t>Credenciales validas devuelven un token JWT; credenciales incorrectas muestran un mensaje de error.</t>
  </si>
  <si>
    <t>HU-03</t>
  </si>
  <si>
    <t>RF3</t>
  </si>
  <si>
    <t>Media</t>
  </si>
  <si>
    <t>HU-04</t>
  </si>
  <si>
    <t>RF4</t>
  </si>
  <si>
    <t>HU-05</t>
  </si>
  <si>
    <t>HU-06</t>
  </si>
  <si>
    <t>Como pasajero quiero consultar las rutas de bus disponibles.</t>
  </si>
  <si>
    <t>Por definir</t>
  </si>
  <si>
    <t>Pendiente</t>
  </si>
  <si>
    <t>HU-07</t>
  </si>
  <si>
    <t>HU-08</t>
  </si>
  <si>
    <t>Como administrador quiero gestionar buses y rutas.</t>
  </si>
  <si>
    <t>HU-09</t>
  </si>
  <si>
    <t>Como pasajero quiero recibir avisos de llegada de mi bus.</t>
  </si>
  <si>
    <t>Baja</t>
  </si>
  <si>
    <t>Sprint Backlog - Sprint 1</t>
  </si>
  <si>
    <t>Total</t>
  </si>
  <si>
    <t>Tarea</t>
  </si>
  <si>
    <t>HU</t>
  </si>
  <si>
    <t>Descripcion de la tarea</t>
  </si>
  <si>
    <t>Capa</t>
  </si>
  <si>
    <t>Responsable</t>
  </si>
  <si>
    <t>Estimacion (h)</t>
  </si>
  <si>
    <t>Evidencia en el codigo (verificada)</t>
  </si>
  <si>
    <t>T01</t>
  </si>
  <si>
    <t>Disenar las tablas rol y usuario (schema.sql)</t>
  </si>
  <si>
    <t>Base de datos</t>
  </si>
  <si>
    <t>Hecho</t>
  </si>
  <si>
    <t>backend: db/schema.sql</t>
  </si>
  <si>
    <t>T02</t>
  </si>
  <si>
    <t>Crear docker-compose con PostgreSQL 16 (puerto 5433)</t>
  </si>
  <si>
    <t>backend: docker-compose.yml</t>
  </si>
  <si>
    <t>T03</t>
  </si>
  <si>
    <t>Implementar el Singleton ConexionDB (JDBC)</t>
  </si>
  <si>
    <t>backend: config/ConexionDB.java</t>
  </si>
  <si>
    <t>T04</t>
  </si>
  <si>
    <t>Implementar UsuarioDao, DaoFactory y UsuarioDaoImpl</t>
  </si>
  <si>
    <t>backend: dao/UsuarioDao.java, dao/DaoFactory.java, dao/impl/UsuarioDaoImpl.java</t>
  </si>
  <si>
    <t>T05</t>
  </si>
  <si>
    <t>Servicio de registro con BCrypt y validacion de correo duplicado</t>
  </si>
  <si>
    <t>Backend</t>
  </si>
  <si>
    <t>backend: service/impl/AuthServiceImpl.java (registrar)</t>
  </si>
  <si>
    <t>T06</t>
  </si>
  <si>
    <t>Endpoint POST /api/auth/register con validaciones de DTO</t>
  </si>
  <si>
    <t>backend: controller/AuthController.java, dto/RegisterRequestDTO.java</t>
  </si>
  <si>
    <t>T07</t>
  </si>
  <si>
    <t>Pantalla de Registro (React)</t>
  </si>
  <si>
    <t>Frontend</t>
  </si>
  <si>
    <t>frontend: pages/Register.jsx</t>
  </si>
  <si>
    <t>T08</t>
  </si>
  <si>
    <t>Clase JwtUtil: generacion y validacion de tokens JWT</t>
  </si>
  <si>
    <t>backend: security/JwtUtil.java</t>
  </si>
  <si>
    <t>T09</t>
  </si>
  <si>
    <t>Servicio de inicio de sesion</t>
  </si>
  <si>
    <t>backend: service/impl/AuthServiceImpl.java (iniciarSesion)</t>
  </si>
  <si>
    <t>T10</t>
  </si>
  <si>
    <t>Endpoint POST /api/auth/login</t>
  </si>
  <si>
    <t>backend: controller/AuthController.java (login)</t>
  </si>
  <si>
    <t>T11</t>
  </si>
  <si>
    <t>Pantalla de Login (React)</t>
  </si>
  <si>
    <t>frontend: pages/Login.jsx</t>
  </si>
  <si>
    <t>T12</t>
  </si>
  <si>
    <t>Capa authService.js con axios e interceptor del token</t>
  </si>
  <si>
    <t>frontend: api/authService.js</t>
  </si>
  <si>
    <t>T13</t>
  </si>
  <si>
    <t>Token de recuperacion de 15 minutos y enlace simulado</t>
  </si>
  <si>
    <t>backend: AuthServiceImpl.java (solicitarRecuperacion), JwtUtil.java</t>
  </si>
  <si>
    <t>T14</t>
  </si>
  <si>
    <t>Endpoints POST y PUT /api/auth/recover</t>
  </si>
  <si>
    <t>backend: controller/AuthController.java (recover)</t>
  </si>
  <si>
    <t>T15</t>
  </si>
  <si>
    <t>Pantalla de recuperacion de contrasena en dos pasos</t>
  </si>
  <si>
    <t>frontend: pages/RecoverPassword.jsx</t>
  </si>
  <si>
    <t>T16</t>
  </si>
  <si>
    <t>AuthContext (Context API) con iniciarSesion y cerrarSesion</t>
  </si>
  <si>
    <t>frontend: context/AuthContext.jsx</t>
  </si>
  <si>
    <t>T17</t>
  </si>
  <si>
    <t>Pantalla Home y ruta privada RutaPrivada</t>
  </si>
  <si>
    <t>frontend: pages/Home.jsx, routes/RutaPrivada.jsx</t>
  </si>
  <si>
    <t>T18</t>
  </si>
  <si>
    <t>Filtro JwtAuthFilter para proteger /api/auth/me</t>
  </si>
  <si>
    <t>backend: security/JwtAuthFilter.java, config/FilterConfig.java</t>
  </si>
  <si>
    <t>T19</t>
  </si>
  <si>
    <t>Endpoint GET /api/auth/me</t>
  </si>
  <si>
    <t>backend: controller/AuthController.java (me)</t>
  </si>
  <si>
    <t>T20</t>
  </si>
  <si>
    <t>Corregir preflight OPTIONS en el filtro y URL del enlace de recuperacion</t>
  </si>
  <si>
    <t>backend: security/JwtAuthFilter.java, service/impl/AuthServiceImpl.java</t>
  </si>
  <si>
    <t>T21</t>
  </si>
  <si>
    <t>GlobalExceptionHandler y ApiErrorResponseDTO</t>
  </si>
  <si>
    <t>backend: exception/GlobalExceptionHandler.java, dto/ApiErrorResponseDTO.java</t>
  </si>
  <si>
    <t>T22</t>
  </si>
  <si>
    <t>Configuracion de CORS para el frontend (puerto 5173)</t>
  </si>
  <si>
    <t>backend: config/CorsConfig.java</t>
  </si>
  <si>
    <t>T23</t>
  </si>
  <si>
    <t>Pruebas manuales de extremo a extremo de los flujos</t>
  </si>
  <si>
    <t>Pruebas</t>
  </si>
  <si>
    <t>En progreso</t>
  </si>
  <si>
    <t>Sin evidencia en el codigo: es una prueba manual</t>
  </si>
  <si>
    <t>T24</t>
  </si>
  <si>
    <t>Documentacion del sprint (Excel de planeamiento y README)</t>
  </si>
  <si>
    <t>Documentacion</t>
  </si>
  <si>
    <t>README.md del proyecto (arquitectura, endpoints y como correrlo) y este Excel</t>
  </si>
  <si>
    <t>T25</t>
  </si>
  <si>
    <t>Pruebas unitarias del servicio de autenticacion</t>
  </si>
  <si>
    <t>No existe la carpeta src/test en el backend</t>
  </si>
  <si>
    <t>Tareas Sprint 1</t>
  </si>
  <si>
    <t>Codigo</t>
  </si>
  <si>
    <t>Diseñar las tablas rol y usuario (schema.sql)</t>
  </si>
  <si>
    <t>Clase JwtUtil: generación y validación de tokens JWT</t>
  </si>
  <si>
    <t>Servicio de inicio de sesión</t>
  </si>
  <si>
    <t>Token de recuperación de 15 minutos y enlace simulado</t>
  </si>
  <si>
    <t>Pantalla de recuperación de contraseña en dos pasos</t>
  </si>
  <si>
    <t>Corregir preflight OPTIONS en el filtro y URL del enlace de recuperación</t>
  </si>
  <si>
    <t>Configuración de CORS para el frontend (puerto 5173)</t>
  </si>
  <si>
    <t>Documentación del sprint (Excel de planeamiento y README)</t>
  </si>
  <si>
    <t>Pruebas unitarias del servicio de autenticación</t>
  </si>
  <si>
    <t>Como usuario quiero recuperar mi contraseña mediante un enlace para volver a entrar si la olvido.</t>
  </si>
  <si>
    <t>Como usuario quiero cerrar sesión para proteger mi cuenta en un equipo compartido.</t>
  </si>
  <si>
    <t>Como usuario quiero iniciar sesión con mi correo y contraseña para acceder al sistema.</t>
  </si>
  <si>
    <t>Como pasajero quiero registrarme con nombre, correo y contraseña para tener una cuenta en BusTracka.</t>
  </si>
  <si>
    <t>Como usuario quiero que mi sesión se mantenga al refrescar la pagina para no iniciar sesión de nuevo.</t>
  </si>
  <si>
    <t>Como pasajero quiero ver la ubicación de los buses en el mapa.</t>
  </si>
  <si>
    <t>Al cerrar sesión se elimina el token y se bloquea el acceso a las rutas privadas.</t>
  </si>
  <si>
    <t>Con un token valido, GET /api/auth/me devuelve mis datos y la página sigue autenticada tras refrescar.</t>
  </si>
  <si>
    <t>Se genera un enlace con token que vence en 15 minutos; la nueva contraseña permite iniciar sesión.</t>
  </si>
  <si>
    <t>Correo unico; contraseña de minimo 8 caracteres guardada con hash BCrypt; al registrarse queda con sesión iniciada.</t>
  </si>
  <si>
    <t>Permitir que un usuario se registre, inicie y cierre sesión y recupere su contraseña de forma segura, dejando lista la base de autenticación (API REST con JWT y interfaz web) sobre la que se construirán los siguientes sprints.</t>
  </si>
  <si>
    <t>Sprint 1: gestion de autenticación y sesión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</si>
</sst>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charset val="1"/>
    </font>
    <font>
      <i/>
      <sz val="10"/>
      <color rgb="FF595959"/>
      <name val="Arial"/>
      <family val="2"/>
      <charset val="1"/>
    </font>
    <font>
      <b/>
      <sz val="14"/>
      <color theme="1" tint="4.9897762993255407E-2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1"/>
      <color rgb="FF339966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4"/>
      <color rgb="FF339966"/>
      <name val="Arial"/>
      <family val="2"/>
      <charset val="1"/>
    </font>
    <font>
      <sz val="10"/>
      <color rgb="FF0000FF"/>
      <name val="Arial"/>
      <family val="2"/>
      <charset val="1"/>
    </font>
    <font>
      <b/>
      <sz val="11"/>
      <color rgb="FF1F3864"/>
      <name val="Arial"/>
      <family val="2"/>
      <charset val="1"/>
    </font>
    <font>
      <sz val="10"/>
      <color rgb="FF59595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39966"/>
        <bgColor rgb="FF008080"/>
      </patternFill>
    </fill>
    <fill>
      <patternFill patternType="solid">
        <fgColor rgb="FFC1D9D1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C1D9D1"/>
      </patternFill>
    </fill>
  </fills>
  <borders count="5">
    <border>
      <left/>
      <right/>
      <top/>
      <bottom/>
      <diagonal/>
    </border>
    <border>
      <left style="thick">
        <color rgb="FF339966"/>
      </left>
      <right/>
      <top style="thick">
        <color rgb="FF339966"/>
      </top>
      <bottom style="thick">
        <color rgb="FF339966"/>
      </bottom>
      <diagonal/>
    </border>
    <border>
      <left style="thick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2" xfId="0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164" fontId="4" fillId="0" borderId="0" xfId="0" applyNumberFormat="1" applyFont="1" applyAlignment="1">
      <alignment horizontal="left"/>
    </xf>
    <xf numFmtId="0" fontId="0" fillId="0" borderId="3" xfId="0" applyBorder="1"/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vertical="top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4" xfId="0" applyFont="1" applyBorder="1"/>
    <xf numFmtId="1" fontId="3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top" wrapText="1"/>
    </xf>
    <xf numFmtId="9" fontId="3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0" fillId="2" borderId="0" xfId="0" applyFill="1"/>
    <xf numFmtId="0" fontId="4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9" fillId="0" borderId="0" xfId="0" applyFont="1"/>
    <xf numFmtId="0" fontId="3" fillId="3" borderId="4" xfId="0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0" fillId="0" borderId="0" xfId="0" applyFont="1"/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12"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C1D9D1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5"/>
  <sheetViews>
    <sheetView showGridLines="0" zoomScaleNormal="100" workbookViewId="0">
      <pane ySplit="4" topLeftCell="A5" activePane="bottomLeft" state="frozen"/>
      <selection pane="bottomLeft" activeCell="B29" sqref="B29"/>
    </sheetView>
  </sheetViews>
  <sheetFormatPr baseColWidth="10" defaultColWidth="8.6640625" defaultRowHeight="14.4" x14ac:dyDescent="0.3"/>
  <cols>
    <col min="1" max="1" width="9" customWidth="1"/>
    <col min="2" max="2" width="54.33203125" customWidth="1"/>
    <col min="3" max="3" width="13" customWidth="1"/>
    <col min="4" max="4" width="11" customWidth="1"/>
    <col min="5" max="6" width="9" customWidth="1"/>
    <col min="7" max="7" width="13" customWidth="1"/>
    <col min="8" max="8" width="56" customWidth="1"/>
  </cols>
  <sheetData>
    <row r="2" spans="1:8" ht="17.25" customHeight="1" x14ac:dyDescent="0.3">
      <c r="C2" s="16" t="s">
        <v>28</v>
      </c>
    </row>
    <row r="4" spans="1:8" s="17" customFormat="1" x14ac:dyDescent="0.3">
      <c r="A4" s="11" t="s">
        <v>29</v>
      </c>
      <c r="B4" s="11" t="s">
        <v>30</v>
      </c>
      <c r="C4" s="11" t="s">
        <v>31</v>
      </c>
      <c r="D4" s="11" t="s">
        <v>32</v>
      </c>
      <c r="E4" s="11" t="s">
        <v>33</v>
      </c>
      <c r="F4" s="11" t="s">
        <v>3</v>
      </c>
      <c r="G4" s="11" t="s">
        <v>34</v>
      </c>
      <c r="H4" s="11" t="s">
        <v>35</v>
      </c>
    </row>
    <row r="5" spans="1:8" ht="29.25" customHeight="1" x14ac:dyDescent="0.3">
      <c r="A5" s="18" t="s">
        <v>36</v>
      </c>
      <c r="B5" s="14" t="s">
        <v>163</v>
      </c>
      <c r="C5" s="18" t="s">
        <v>37</v>
      </c>
      <c r="D5" s="18" t="s">
        <v>38</v>
      </c>
      <c r="E5" s="19">
        <v>5</v>
      </c>
      <c r="F5" s="19">
        <v>1</v>
      </c>
      <c r="G5" s="18" t="str">
        <f>INDEX('Sprint Backlog'!$F$6:$F$10,MATCH(A5,'Sprint Backlog'!$A$6:$A$10,0))</f>
        <v>En progreso</v>
      </c>
      <c r="H5" s="14" t="s">
        <v>169</v>
      </c>
    </row>
    <row r="6" spans="1:8" ht="29.25" customHeight="1" x14ac:dyDescent="0.3">
      <c r="A6" s="18" t="s">
        <v>39</v>
      </c>
      <c r="B6" s="14" t="s">
        <v>162</v>
      </c>
      <c r="C6" s="18" t="s">
        <v>40</v>
      </c>
      <c r="D6" s="18" t="s">
        <v>38</v>
      </c>
      <c r="E6" s="19">
        <v>5</v>
      </c>
      <c r="F6" s="19">
        <v>1</v>
      </c>
      <c r="G6" s="18" t="str">
        <f>INDEX('Sprint Backlog'!$F$6:$F$10,MATCH(A6,'Sprint Backlog'!$A$6:$A$10,0))</f>
        <v>En progreso</v>
      </c>
      <c r="H6" s="14" t="s">
        <v>41</v>
      </c>
    </row>
    <row r="7" spans="1:8" ht="29.25" customHeight="1" x14ac:dyDescent="0.3">
      <c r="A7" s="18" t="s">
        <v>42</v>
      </c>
      <c r="B7" s="14" t="s">
        <v>160</v>
      </c>
      <c r="C7" s="18" t="s">
        <v>43</v>
      </c>
      <c r="D7" s="18" t="s">
        <v>44</v>
      </c>
      <c r="E7" s="19">
        <v>8</v>
      </c>
      <c r="F7" s="19">
        <v>1</v>
      </c>
      <c r="G7" s="18" t="str">
        <f>INDEX('Sprint Backlog'!$F$6:$F$10,MATCH(A7,'Sprint Backlog'!$A$6:$A$10,0))</f>
        <v>Hecho</v>
      </c>
      <c r="H7" s="14" t="s">
        <v>168</v>
      </c>
    </row>
    <row r="8" spans="1:8" ht="29.25" customHeight="1" x14ac:dyDescent="0.3">
      <c r="A8" s="18" t="s">
        <v>45</v>
      </c>
      <c r="B8" s="14" t="s">
        <v>161</v>
      </c>
      <c r="C8" s="18" t="s">
        <v>46</v>
      </c>
      <c r="D8" s="18" t="s">
        <v>44</v>
      </c>
      <c r="E8" s="19">
        <v>3</v>
      </c>
      <c r="F8" s="19">
        <v>1</v>
      </c>
      <c r="G8" s="18" t="str">
        <f>INDEX('Sprint Backlog'!$F$6:$F$10,MATCH(A8,'Sprint Backlog'!$A$6:$A$10,0))</f>
        <v>Hecho</v>
      </c>
      <c r="H8" s="14" t="s">
        <v>166</v>
      </c>
    </row>
    <row r="9" spans="1:8" ht="29.25" customHeight="1" x14ac:dyDescent="0.3">
      <c r="A9" s="18" t="s">
        <v>47</v>
      </c>
      <c r="B9" s="14" t="s">
        <v>164</v>
      </c>
      <c r="C9" s="18" t="s">
        <v>40</v>
      </c>
      <c r="D9" s="18" t="s">
        <v>44</v>
      </c>
      <c r="E9" s="19">
        <v>3</v>
      </c>
      <c r="F9" s="19">
        <v>1</v>
      </c>
      <c r="G9" s="18" t="str">
        <f>INDEX('Sprint Backlog'!$F$6:$F$10,MATCH(A9,'Sprint Backlog'!$A$6:$A$10,0))</f>
        <v>Hecho</v>
      </c>
      <c r="H9" s="14" t="s">
        <v>167</v>
      </c>
    </row>
    <row r="10" spans="1:8" ht="17.25" customHeight="1" x14ac:dyDescent="0.3">
      <c r="A10" s="18" t="s">
        <v>48</v>
      </c>
      <c r="B10" s="14" t="s">
        <v>49</v>
      </c>
      <c r="C10" s="18" t="s">
        <v>50</v>
      </c>
      <c r="D10" s="18" t="s">
        <v>38</v>
      </c>
      <c r="E10" s="19">
        <v>5</v>
      </c>
      <c r="F10" s="19">
        <v>2</v>
      </c>
      <c r="G10" s="18" t="s">
        <v>51</v>
      </c>
      <c r="H10" s="14"/>
    </row>
    <row r="11" spans="1:8" ht="23.25" customHeight="1" x14ac:dyDescent="0.3">
      <c r="A11" s="18" t="s">
        <v>52</v>
      </c>
      <c r="B11" s="14" t="s">
        <v>165</v>
      </c>
      <c r="C11" s="18" t="s">
        <v>50</v>
      </c>
      <c r="D11" s="18" t="s">
        <v>38</v>
      </c>
      <c r="E11" s="19">
        <v>8</v>
      </c>
      <c r="F11" s="19">
        <v>2</v>
      </c>
      <c r="G11" s="18" t="s">
        <v>51</v>
      </c>
      <c r="H11" s="14"/>
    </row>
    <row r="12" spans="1:8" ht="20.25" customHeight="1" x14ac:dyDescent="0.3">
      <c r="A12" s="18" t="s">
        <v>53</v>
      </c>
      <c r="B12" s="14" t="s">
        <v>54</v>
      </c>
      <c r="C12" s="18" t="s">
        <v>50</v>
      </c>
      <c r="D12" s="18" t="s">
        <v>44</v>
      </c>
      <c r="E12" s="19">
        <v>8</v>
      </c>
      <c r="F12" s="19">
        <v>3</v>
      </c>
      <c r="G12" s="18" t="s">
        <v>51</v>
      </c>
      <c r="H12" s="14"/>
    </row>
    <row r="13" spans="1:8" ht="20.25" customHeight="1" x14ac:dyDescent="0.3">
      <c r="A13" s="18" t="s">
        <v>55</v>
      </c>
      <c r="B13" s="14" t="s">
        <v>56</v>
      </c>
      <c r="C13" s="18" t="s">
        <v>50</v>
      </c>
      <c r="D13" s="18" t="s">
        <v>57</v>
      </c>
      <c r="E13" s="19">
        <v>5</v>
      </c>
      <c r="F13" s="19">
        <v>3</v>
      </c>
      <c r="G13" s="18" t="s">
        <v>51</v>
      </c>
      <c r="H13" s="14"/>
    </row>
    <row r="15" spans="1:8" x14ac:dyDescent="0.3">
      <c r="A15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1"/>
  <sheetViews>
    <sheetView showGridLines="0" topLeftCell="A3" zoomScaleNormal="100" workbookViewId="0">
      <selection activeCell="F20" sqref="F20"/>
    </sheetView>
  </sheetViews>
  <sheetFormatPr baseColWidth="10" defaultColWidth="8.6640625" defaultRowHeight="14.4" x14ac:dyDescent="0.3"/>
  <cols>
    <col min="1" max="1" width="8.21875" customWidth="1"/>
    <col min="2" max="2" width="33.77734375" customWidth="1"/>
    <col min="3" max="3" width="39.6640625" customWidth="1"/>
    <col min="5" max="5" width="32.77734375" customWidth="1"/>
    <col min="6" max="6" width="8.6640625" style="1"/>
  </cols>
  <sheetData>
    <row r="2" spans="1:7" ht="14.25" customHeight="1" x14ac:dyDescent="0.3">
      <c r="A2" s="2"/>
    </row>
    <row r="3" spans="1:7" ht="18" customHeight="1" x14ac:dyDescent="0.3">
      <c r="B3" s="27" t="s">
        <v>0</v>
      </c>
      <c r="C3" s="27"/>
      <c r="D3" s="27"/>
      <c r="E3" s="27"/>
      <c r="F3" s="27"/>
      <c r="G3" s="3"/>
    </row>
    <row r="4" spans="1:7" ht="14.25" customHeight="1" x14ac:dyDescent="0.3">
      <c r="G4" s="1"/>
    </row>
    <row r="5" spans="1:7" x14ac:dyDescent="0.3">
      <c r="B5" s="4" t="s">
        <v>1</v>
      </c>
      <c r="C5" s="5" t="s">
        <v>2</v>
      </c>
      <c r="G5" s="1"/>
    </row>
    <row r="6" spans="1:7" x14ac:dyDescent="0.3">
      <c r="B6" s="4" t="s">
        <v>3</v>
      </c>
      <c r="C6" s="5" t="s">
        <v>171</v>
      </c>
      <c r="G6" s="1"/>
    </row>
    <row r="7" spans="1:7" x14ac:dyDescent="0.3">
      <c r="B7" s="4" t="s">
        <v>4</v>
      </c>
      <c r="C7" s="6">
        <v>46275</v>
      </c>
      <c r="D7" s="7"/>
      <c r="G7" s="1"/>
    </row>
    <row r="8" spans="1:7" x14ac:dyDescent="0.3">
      <c r="B8" s="4" t="s">
        <v>5</v>
      </c>
      <c r="C8" s="6">
        <v>46285</v>
      </c>
      <c r="G8" s="1"/>
    </row>
    <row r="9" spans="1:7" x14ac:dyDescent="0.3">
      <c r="B9" s="4" t="s">
        <v>6</v>
      </c>
      <c r="C9" s="8">
        <f>C8-C7</f>
        <v>10</v>
      </c>
      <c r="G9" s="1"/>
    </row>
    <row r="10" spans="1:7" x14ac:dyDescent="0.3">
      <c r="G10" s="1"/>
    </row>
    <row r="11" spans="1:7" x14ac:dyDescent="0.3">
      <c r="B11" s="9" t="s">
        <v>7</v>
      </c>
      <c r="G11" s="1"/>
    </row>
    <row r="12" spans="1:7" ht="30.75" customHeight="1" x14ac:dyDescent="0.3">
      <c r="B12" s="28" t="s">
        <v>170</v>
      </c>
      <c r="C12" s="28"/>
      <c r="D12" s="28"/>
      <c r="E12" s="28"/>
      <c r="F12" s="28"/>
      <c r="G12" s="10"/>
    </row>
    <row r="13" spans="1:7" x14ac:dyDescent="0.3">
      <c r="G13" s="1"/>
    </row>
    <row r="14" spans="1:7" x14ac:dyDescent="0.3">
      <c r="B14" s="9" t="s">
        <v>8</v>
      </c>
      <c r="E14" s="9" t="s">
        <v>9</v>
      </c>
    </row>
    <row r="15" spans="1:7" x14ac:dyDescent="0.3">
      <c r="B15" s="11" t="s">
        <v>10</v>
      </c>
      <c r="C15" s="11" t="s">
        <v>11</v>
      </c>
      <c r="E15" s="12" t="s">
        <v>12</v>
      </c>
      <c r="F15" s="13">
        <f>COUNTIF('Product Backlog'!$F$5:$F$13,1)</f>
        <v>5</v>
      </c>
    </row>
    <row r="16" spans="1:7" ht="15.75" customHeight="1" x14ac:dyDescent="0.3">
      <c r="B16" s="14" t="s">
        <v>13</v>
      </c>
      <c r="C16" s="14" t="s">
        <v>14</v>
      </c>
      <c r="E16" s="12" t="s">
        <v>15</v>
      </c>
      <c r="F16" s="13">
        <f>SUMIFS('Product Backlog'!$E$5:$E$13,'Product Backlog'!$F$5:$F$13,1)</f>
        <v>24</v>
      </c>
    </row>
    <row r="17" spans="1:7" ht="15" customHeight="1" x14ac:dyDescent="0.3">
      <c r="B17" s="14" t="s">
        <v>16</v>
      </c>
      <c r="C17" s="14" t="s">
        <v>17</v>
      </c>
      <c r="E17" s="12" t="s">
        <v>18</v>
      </c>
      <c r="F17" s="13">
        <f>COUNTA('Sprint Backlog'!$A$16:$A$40)</f>
        <v>25</v>
      </c>
    </row>
    <row r="18" spans="1:7" ht="15" customHeight="1" x14ac:dyDescent="0.3">
      <c r="B18" s="14" t="s">
        <v>19</v>
      </c>
      <c r="C18" s="14" t="s">
        <v>20</v>
      </c>
      <c r="E18" s="12" t="s">
        <v>21</v>
      </c>
      <c r="F18" s="13">
        <f>COUNTIF('Sprint Backlog'!$H$16:$H$40,"Hecho")</f>
        <v>22</v>
      </c>
    </row>
    <row r="19" spans="1:7" ht="16.5" customHeight="1" x14ac:dyDescent="0.3">
      <c r="B19" s="14" t="s">
        <v>22</v>
      </c>
      <c r="C19" s="14" t="s">
        <v>23</v>
      </c>
      <c r="E19" s="12" t="s">
        <v>24</v>
      </c>
      <c r="F19" s="15">
        <f>F18/F17</f>
        <v>0.88</v>
      </c>
    </row>
    <row r="20" spans="1:7" x14ac:dyDescent="0.3">
      <c r="E20" s="12" t="s">
        <v>25</v>
      </c>
      <c r="F20" s="13">
        <f>'Sprint Backlog'!F41</f>
        <v>60</v>
      </c>
    </row>
    <row r="21" spans="1:7" x14ac:dyDescent="0.3">
      <c r="E21" s="12" t="s">
        <v>26</v>
      </c>
      <c r="F21" s="13">
        <f>'Sprint Backlog'!G41</f>
        <v>11</v>
      </c>
    </row>
    <row r="22" spans="1:7" x14ac:dyDescent="0.3">
      <c r="E22" s="12" t="s">
        <v>27</v>
      </c>
      <c r="F22" s="15">
        <f>IF(F20=0,0,1-F21/F20)</f>
        <v>0.81666666666666665</v>
      </c>
    </row>
    <row r="23" spans="1:7" x14ac:dyDescent="0.3">
      <c r="G23" s="1"/>
    </row>
    <row r="31" spans="1:7" ht="30" customHeight="1" x14ac:dyDescent="0.3">
      <c r="A31" s="29"/>
      <c r="B31" s="29"/>
    </row>
  </sheetData>
  <mergeCells count="3">
    <mergeCell ref="B3:F3"/>
    <mergeCell ref="B12:F12"/>
    <mergeCell ref="A31:B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I43"/>
  <sheetViews>
    <sheetView showGridLines="0" zoomScaleNormal="100" workbookViewId="0">
      <pane ySplit="5" topLeftCell="A6" activePane="bottomLeft" state="frozen"/>
      <selection pane="bottomLeft" activeCell="F44" sqref="F44"/>
    </sheetView>
  </sheetViews>
  <sheetFormatPr baseColWidth="10" defaultColWidth="8.6640625" defaultRowHeight="14.4" x14ac:dyDescent="0.3"/>
  <cols>
    <col min="1" max="1" width="9" customWidth="1"/>
    <col min="2" max="2" width="45.5546875" customWidth="1"/>
    <col min="3" max="3" width="7.44140625" customWidth="1"/>
    <col min="4" max="4" width="15" customWidth="1"/>
    <col min="5" max="5" width="11.5546875" customWidth="1"/>
    <col min="6" max="6" width="16" customWidth="1"/>
    <col min="7" max="7" width="15" customWidth="1"/>
    <col min="8" max="8" width="14" customWidth="1"/>
    <col min="9" max="9" width="52" customWidth="1"/>
  </cols>
  <sheetData>
    <row r="3" spans="1:9" ht="17.25" customHeight="1" x14ac:dyDescent="0.3">
      <c r="A3" s="2"/>
      <c r="C3" s="20" t="s">
        <v>58</v>
      </c>
    </row>
    <row r="4" spans="1:9" x14ac:dyDescent="0.3">
      <c r="A4" s="21"/>
    </row>
    <row r="5" spans="1:9" ht="26.25" customHeight="1" x14ac:dyDescent="0.3">
      <c r="A5" s="11" t="s">
        <v>29</v>
      </c>
      <c r="B5" s="11" t="s">
        <v>30</v>
      </c>
      <c r="C5" s="11" t="s">
        <v>33</v>
      </c>
      <c r="D5" s="11" t="s">
        <v>25</v>
      </c>
      <c r="E5" s="11" t="s">
        <v>26</v>
      </c>
      <c r="F5" s="11" t="s">
        <v>34</v>
      </c>
    </row>
    <row r="6" spans="1:9" ht="30.75" customHeight="1" x14ac:dyDescent="0.3">
      <c r="A6" s="18" t="s">
        <v>36</v>
      </c>
      <c r="B6" s="14" t="str">
        <f>INDEX('Product Backlog'!$B$5:$B$13,MATCH(A6,'Product Backlog'!$A$5:$A$13,0))</f>
        <v>Como pasajero quiero registrarme con nombre, correo y contraseña para tener una cuenta en BusTracka.</v>
      </c>
      <c r="C6" s="18">
        <f>INDEX('Product Backlog'!$E$5:$E$13,MATCH(A6,'Product Backlog'!$A$5:$A$13,0))</f>
        <v>5</v>
      </c>
      <c r="D6" s="18">
        <f>SUMIFS($F$16:$F$40,$B$16:$B$40,A6)</f>
        <v>22</v>
      </c>
      <c r="E6" s="18">
        <f>SUMIFS($G$16:$G$40,$B$16:$B$40,A6)</f>
        <v>5</v>
      </c>
      <c r="F6" s="18" t="str">
        <f>IF(COUNTIFS($B$16:$B$40,A6,$H$16:$H$40,"&lt;&gt;Hecho")=0,"Hecho",IF(COUNTIFS($B$16:$B$40,A6,$H$16:$H$40,"Hecho")=0,"Pendiente","En progreso"))</f>
        <v>En progreso</v>
      </c>
    </row>
    <row r="7" spans="1:9" ht="30" customHeight="1" x14ac:dyDescent="0.3">
      <c r="A7" s="18" t="s">
        <v>39</v>
      </c>
      <c r="B7" s="14" t="str">
        <f>INDEX('Product Backlog'!$B$5:$B$13,MATCH(A7,'Product Backlog'!$A$5:$A$13,0))</f>
        <v>Como usuario quiero iniciar sesión con mi correo y contraseña para acceder al sistema.</v>
      </c>
      <c r="C7" s="18">
        <f>INDEX('Product Backlog'!$E$5:$E$13,MATCH(A7,'Product Backlog'!$A$5:$A$13,0))</f>
        <v>5</v>
      </c>
      <c r="D7" s="18">
        <f>SUMIFS($F$16:$F$40,$B$16:$B$40,A7)</f>
        <v>17</v>
      </c>
      <c r="E7" s="18">
        <f>SUMIFS($G$16:$G$40,$B$16:$B$40,A7)</f>
        <v>6</v>
      </c>
      <c r="F7" s="18" t="str">
        <f>IF(COUNTIFS($B$16:$B$40,A7,$H$16:$H$40,"&lt;&gt;Hecho")=0,"Hecho",IF(COUNTIFS($B$16:$B$40,A7,$H$16:$H$40,"Hecho")=0,"Pendiente","En progreso"))</f>
        <v>En progreso</v>
      </c>
    </row>
    <row r="8" spans="1:9" ht="30" customHeight="1" x14ac:dyDescent="0.3">
      <c r="A8" s="18" t="s">
        <v>42</v>
      </c>
      <c r="B8" s="14" t="str">
        <f>INDEX('Product Backlog'!$B$5:$B$13,MATCH(A8,'Product Backlog'!$A$5:$A$13,0))</f>
        <v>Como usuario quiero recuperar mi contraseña mediante un enlace para volver a entrar si la olvido.</v>
      </c>
      <c r="C8" s="18">
        <f>INDEX('Product Backlog'!$E$5:$E$13,MATCH(A8,'Product Backlog'!$A$5:$A$13,0))</f>
        <v>8</v>
      </c>
      <c r="D8" s="18">
        <f>SUMIFS($F$16:$F$40,$B$16:$B$40,A8)</f>
        <v>11</v>
      </c>
      <c r="E8" s="18">
        <f>SUMIFS($G$16:$G$40,$B$16:$B$40,A8)</f>
        <v>0</v>
      </c>
      <c r="F8" s="18" t="str">
        <f>IF(COUNTIFS($B$16:$B$40,A8,$H$16:$H$40,"&lt;&gt;Hecho")=0,"Hecho",IF(COUNTIFS($B$16:$B$40,A8,$H$16:$H$40,"Hecho")=0,"Pendiente","En progreso"))</f>
        <v>Hecho</v>
      </c>
    </row>
    <row r="9" spans="1:9" ht="30.75" customHeight="1" x14ac:dyDescent="0.3">
      <c r="A9" s="18" t="s">
        <v>45</v>
      </c>
      <c r="B9" s="14" t="str">
        <f>INDEX('Product Backlog'!$B$5:$B$13,MATCH(A9,'Product Backlog'!$A$5:$A$13,0))</f>
        <v>Como usuario quiero cerrar sesión para proteger mi cuenta en un equipo compartido.</v>
      </c>
      <c r="C9" s="18">
        <f>INDEX('Product Backlog'!$E$5:$E$13,MATCH(A9,'Product Backlog'!$A$5:$A$13,0))</f>
        <v>3</v>
      </c>
      <c r="D9" s="18">
        <f>SUMIFS($F$16:$F$40,$B$16:$B$40,A9)</f>
        <v>5</v>
      </c>
      <c r="E9" s="18">
        <f>SUMIFS($G$16:$G$40,$B$16:$B$40,A9)</f>
        <v>0</v>
      </c>
      <c r="F9" s="18" t="str">
        <f>IF(COUNTIFS($B$16:$B$40,A9,$H$16:$H$40,"&lt;&gt;Hecho")=0,"Hecho",IF(COUNTIFS($B$16:$B$40,A9,$H$16:$H$40,"Hecho")=0,"Pendiente","En progreso"))</f>
        <v>Hecho</v>
      </c>
    </row>
    <row r="10" spans="1:9" ht="31.5" customHeight="1" x14ac:dyDescent="0.3">
      <c r="A10" s="18" t="s">
        <v>47</v>
      </c>
      <c r="B10" s="14" t="str">
        <f>INDEX('Product Backlog'!$B$5:$B$13,MATCH(A10,'Product Backlog'!$A$5:$A$13,0))</f>
        <v>Como usuario quiero que mi sesión se mantenga al refrescar la pagina para no iniciar sesión de nuevo.</v>
      </c>
      <c r="C10" s="18">
        <f>INDEX('Product Backlog'!$E$5:$E$13,MATCH(A10,'Product Backlog'!$A$5:$A$13,0))</f>
        <v>3</v>
      </c>
      <c r="D10" s="18">
        <f>SUMIFS($F$16:$F$40,$B$16:$B$40,A10)</f>
        <v>5</v>
      </c>
      <c r="E10" s="18">
        <f>SUMIFS($G$16:$G$40,$B$16:$B$40,A10)</f>
        <v>0</v>
      </c>
      <c r="F10" s="18" t="str">
        <f>IF(COUNTIFS($B$16:$B$40,A10,$H$16:$H$40,"&lt;&gt;Hecho")=0,"Hecho",IF(COUNTIFS($B$16:$B$40,A10,$H$16:$H$40,"Hecho")=0,"Pendiente","En progreso"))</f>
        <v>Hecho</v>
      </c>
    </row>
    <row r="11" spans="1:9" x14ac:dyDescent="0.3">
      <c r="A11" s="22" t="s">
        <v>59</v>
      </c>
      <c r="B11" s="22"/>
      <c r="C11" s="22">
        <f>SUM(C6:C10)</f>
        <v>24</v>
      </c>
      <c r="D11" s="22">
        <f>SUM(D6:D10)</f>
        <v>60</v>
      </c>
      <c r="E11" s="22">
        <f>SUM(E6:E10)</f>
        <v>11</v>
      </c>
      <c r="F11" s="22"/>
    </row>
    <row r="13" spans="1:9" hidden="1" x14ac:dyDescent="0.3"/>
    <row r="14" spans="1:9" hidden="1" x14ac:dyDescent="0.3">
      <c r="A14" s="21"/>
    </row>
    <row r="15" spans="1:9" ht="39" hidden="1" customHeight="1" x14ac:dyDescent="0.3">
      <c r="A15" s="23" t="s">
        <v>60</v>
      </c>
      <c r="B15" s="23" t="s">
        <v>61</v>
      </c>
      <c r="C15" s="23" t="s">
        <v>62</v>
      </c>
      <c r="D15" s="23" t="s">
        <v>63</v>
      </c>
      <c r="E15" s="23" t="s">
        <v>64</v>
      </c>
      <c r="F15" s="23" t="s">
        <v>65</v>
      </c>
      <c r="G15" s="23" t="s">
        <v>26</v>
      </c>
      <c r="H15" s="23" t="s">
        <v>34</v>
      </c>
      <c r="I15" s="23" t="s">
        <v>66</v>
      </c>
    </row>
    <row r="16" spans="1:9" ht="30" hidden="1" customHeight="1" x14ac:dyDescent="0.3">
      <c r="A16" s="18" t="s">
        <v>67</v>
      </c>
      <c r="B16" s="18" t="s">
        <v>36</v>
      </c>
      <c r="C16" s="14" t="s">
        <v>68</v>
      </c>
      <c r="D16" s="18" t="s">
        <v>69</v>
      </c>
      <c r="E16" s="14" t="s">
        <v>13</v>
      </c>
      <c r="F16" s="19">
        <v>1</v>
      </c>
      <c r="G16" s="19">
        <v>0</v>
      </c>
      <c r="H16" s="18" t="s">
        <v>70</v>
      </c>
      <c r="I16" s="14" t="s">
        <v>71</v>
      </c>
    </row>
    <row r="17" spans="1:9" ht="30" hidden="1" customHeight="1" x14ac:dyDescent="0.3">
      <c r="A17" s="18" t="s">
        <v>72</v>
      </c>
      <c r="B17" s="18" t="s">
        <v>36</v>
      </c>
      <c r="C17" s="14" t="s">
        <v>73</v>
      </c>
      <c r="D17" s="18" t="s">
        <v>69</v>
      </c>
      <c r="E17" s="14" t="s">
        <v>13</v>
      </c>
      <c r="F17" s="19">
        <v>1</v>
      </c>
      <c r="G17" s="19">
        <v>0</v>
      </c>
      <c r="H17" s="18" t="s">
        <v>70</v>
      </c>
      <c r="I17" s="14" t="s">
        <v>74</v>
      </c>
    </row>
    <row r="18" spans="1:9" ht="30" hidden="1" customHeight="1" x14ac:dyDescent="0.3">
      <c r="A18" s="18" t="s">
        <v>75</v>
      </c>
      <c r="B18" s="18" t="s">
        <v>36</v>
      </c>
      <c r="C18" s="14" t="s">
        <v>76</v>
      </c>
      <c r="D18" s="18" t="s">
        <v>69</v>
      </c>
      <c r="E18" s="14" t="s">
        <v>13</v>
      </c>
      <c r="F18" s="19">
        <v>2</v>
      </c>
      <c r="G18" s="19">
        <v>0</v>
      </c>
      <c r="H18" s="18" t="s">
        <v>70</v>
      </c>
      <c r="I18" s="14" t="s">
        <v>77</v>
      </c>
    </row>
    <row r="19" spans="1:9" ht="30" hidden="1" customHeight="1" x14ac:dyDescent="0.3">
      <c r="A19" s="18" t="s">
        <v>78</v>
      </c>
      <c r="B19" s="18" t="s">
        <v>36</v>
      </c>
      <c r="C19" s="14" t="s">
        <v>79</v>
      </c>
      <c r="D19" s="18" t="s">
        <v>69</v>
      </c>
      <c r="E19" s="14" t="s">
        <v>13</v>
      </c>
      <c r="F19" s="19">
        <v>2</v>
      </c>
      <c r="G19" s="19">
        <v>0</v>
      </c>
      <c r="H19" s="18" t="s">
        <v>70</v>
      </c>
      <c r="I19" s="14" t="s">
        <v>80</v>
      </c>
    </row>
    <row r="20" spans="1:9" ht="30" hidden="1" customHeight="1" x14ac:dyDescent="0.3">
      <c r="A20" s="18" t="s">
        <v>81</v>
      </c>
      <c r="B20" s="18" t="s">
        <v>36</v>
      </c>
      <c r="C20" s="14" t="s">
        <v>82</v>
      </c>
      <c r="D20" s="18" t="s">
        <v>83</v>
      </c>
      <c r="E20" s="14" t="s">
        <v>22</v>
      </c>
      <c r="F20" s="19">
        <v>3</v>
      </c>
      <c r="G20" s="19">
        <v>0</v>
      </c>
      <c r="H20" s="18" t="s">
        <v>70</v>
      </c>
      <c r="I20" s="14" t="s">
        <v>84</v>
      </c>
    </row>
    <row r="21" spans="1:9" ht="30" hidden="1" customHeight="1" x14ac:dyDescent="0.3">
      <c r="A21" s="18" t="s">
        <v>85</v>
      </c>
      <c r="B21" s="18" t="s">
        <v>36</v>
      </c>
      <c r="C21" s="14" t="s">
        <v>86</v>
      </c>
      <c r="D21" s="18" t="s">
        <v>83</v>
      </c>
      <c r="E21" s="14" t="s">
        <v>22</v>
      </c>
      <c r="F21" s="19">
        <v>3</v>
      </c>
      <c r="G21" s="19">
        <v>0</v>
      </c>
      <c r="H21" s="18" t="s">
        <v>70</v>
      </c>
      <c r="I21" s="14" t="s">
        <v>87</v>
      </c>
    </row>
    <row r="22" spans="1:9" ht="30" hidden="1" customHeight="1" x14ac:dyDescent="0.3">
      <c r="A22" s="18" t="s">
        <v>88</v>
      </c>
      <c r="B22" s="18" t="s">
        <v>36</v>
      </c>
      <c r="C22" s="14" t="s">
        <v>89</v>
      </c>
      <c r="D22" s="18" t="s">
        <v>90</v>
      </c>
      <c r="E22" s="14" t="s">
        <v>16</v>
      </c>
      <c r="F22" s="19">
        <v>4</v>
      </c>
      <c r="G22" s="19">
        <v>0</v>
      </c>
      <c r="H22" s="18" t="s">
        <v>70</v>
      </c>
      <c r="I22" s="14" t="s">
        <v>91</v>
      </c>
    </row>
    <row r="23" spans="1:9" ht="30" hidden="1" customHeight="1" x14ac:dyDescent="0.3">
      <c r="A23" s="18" t="s">
        <v>92</v>
      </c>
      <c r="B23" s="18" t="s">
        <v>39</v>
      </c>
      <c r="C23" s="14" t="s">
        <v>93</v>
      </c>
      <c r="D23" s="18" t="s">
        <v>83</v>
      </c>
      <c r="E23" s="14" t="s">
        <v>22</v>
      </c>
      <c r="F23" s="19">
        <v>3</v>
      </c>
      <c r="G23" s="19">
        <v>0</v>
      </c>
      <c r="H23" s="18" t="s">
        <v>70</v>
      </c>
      <c r="I23" s="14" t="s">
        <v>94</v>
      </c>
    </row>
    <row r="24" spans="1:9" ht="30" hidden="1" customHeight="1" x14ac:dyDescent="0.3">
      <c r="A24" s="18" t="s">
        <v>95</v>
      </c>
      <c r="B24" s="18" t="s">
        <v>39</v>
      </c>
      <c r="C24" s="14" t="s">
        <v>96</v>
      </c>
      <c r="D24" s="18" t="s">
        <v>83</v>
      </c>
      <c r="E24" s="14" t="s">
        <v>22</v>
      </c>
      <c r="F24" s="19">
        <v>2</v>
      </c>
      <c r="G24" s="19">
        <v>0</v>
      </c>
      <c r="H24" s="18" t="s">
        <v>70</v>
      </c>
      <c r="I24" s="14" t="s">
        <v>97</v>
      </c>
    </row>
    <row r="25" spans="1:9" ht="30" hidden="1" customHeight="1" x14ac:dyDescent="0.3">
      <c r="A25" s="18" t="s">
        <v>98</v>
      </c>
      <c r="B25" s="18" t="s">
        <v>39</v>
      </c>
      <c r="C25" s="14" t="s">
        <v>99</v>
      </c>
      <c r="D25" s="18" t="s">
        <v>83</v>
      </c>
      <c r="E25" s="14" t="s">
        <v>22</v>
      </c>
      <c r="F25" s="19">
        <v>1</v>
      </c>
      <c r="G25" s="19">
        <v>0</v>
      </c>
      <c r="H25" s="18" t="s">
        <v>70</v>
      </c>
      <c r="I25" s="14" t="s">
        <v>100</v>
      </c>
    </row>
    <row r="26" spans="1:9" ht="30" hidden="1" customHeight="1" x14ac:dyDescent="0.3">
      <c r="A26" s="18" t="s">
        <v>101</v>
      </c>
      <c r="B26" s="18" t="s">
        <v>39</v>
      </c>
      <c r="C26" s="14" t="s">
        <v>102</v>
      </c>
      <c r="D26" s="18" t="s">
        <v>90</v>
      </c>
      <c r="E26" s="14" t="s">
        <v>16</v>
      </c>
      <c r="F26" s="19">
        <v>3</v>
      </c>
      <c r="G26" s="19">
        <v>0</v>
      </c>
      <c r="H26" s="18" t="s">
        <v>70</v>
      </c>
      <c r="I26" s="14" t="s">
        <v>103</v>
      </c>
    </row>
    <row r="27" spans="1:9" ht="30" hidden="1" customHeight="1" x14ac:dyDescent="0.3">
      <c r="A27" s="18" t="s">
        <v>104</v>
      </c>
      <c r="B27" s="18" t="s">
        <v>39</v>
      </c>
      <c r="C27" s="14" t="s">
        <v>105</v>
      </c>
      <c r="D27" s="18" t="s">
        <v>90</v>
      </c>
      <c r="E27" s="14" t="s">
        <v>16</v>
      </c>
      <c r="F27" s="19">
        <v>3</v>
      </c>
      <c r="G27" s="19">
        <v>0</v>
      </c>
      <c r="H27" s="18" t="s">
        <v>70</v>
      </c>
      <c r="I27" s="14" t="s">
        <v>106</v>
      </c>
    </row>
    <row r="28" spans="1:9" ht="30" hidden="1" customHeight="1" x14ac:dyDescent="0.3">
      <c r="A28" s="18" t="s">
        <v>107</v>
      </c>
      <c r="B28" s="18" t="s">
        <v>42</v>
      </c>
      <c r="C28" s="14" t="s">
        <v>108</v>
      </c>
      <c r="D28" s="18" t="s">
        <v>83</v>
      </c>
      <c r="E28" s="14" t="s">
        <v>22</v>
      </c>
      <c r="F28" s="19">
        <v>4</v>
      </c>
      <c r="G28" s="19">
        <v>0</v>
      </c>
      <c r="H28" s="18" t="s">
        <v>70</v>
      </c>
      <c r="I28" s="14" t="s">
        <v>109</v>
      </c>
    </row>
    <row r="29" spans="1:9" ht="30" hidden="1" customHeight="1" x14ac:dyDescent="0.3">
      <c r="A29" s="18" t="s">
        <v>110</v>
      </c>
      <c r="B29" s="18" t="s">
        <v>42</v>
      </c>
      <c r="C29" s="14" t="s">
        <v>111</v>
      </c>
      <c r="D29" s="18" t="s">
        <v>83</v>
      </c>
      <c r="E29" s="14" t="s">
        <v>22</v>
      </c>
      <c r="F29" s="19">
        <v>3</v>
      </c>
      <c r="G29" s="19">
        <v>0</v>
      </c>
      <c r="H29" s="18" t="s">
        <v>70</v>
      </c>
      <c r="I29" s="14" t="s">
        <v>112</v>
      </c>
    </row>
    <row r="30" spans="1:9" ht="30" hidden="1" customHeight="1" x14ac:dyDescent="0.3">
      <c r="A30" s="18" t="s">
        <v>113</v>
      </c>
      <c r="B30" s="18" t="s">
        <v>42</v>
      </c>
      <c r="C30" s="14" t="s">
        <v>114</v>
      </c>
      <c r="D30" s="18" t="s">
        <v>90</v>
      </c>
      <c r="E30" s="14" t="s">
        <v>16</v>
      </c>
      <c r="F30" s="19">
        <v>4</v>
      </c>
      <c r="G30" s="19">
        <v>0</v>
      </c>
      <c r="H30" s="18" t="s">
        <v>70</v>
      </c>
      <c r="I30" s="14" t="s">
        <v>115</v>
      </c>
    </row>
    <row r="31" spans="1:9" ht="30" hidden="1" customHeight="1" x14ac:dyDescent="0.3">
      <c r="A31" s="18" t="s">
        <v>116</v>
      </c>
      <c r="B31" s="18" t="s">
        <v>45</v>
      </c>
      <c r="C31" s="14" t="s">
        <v>117</v>
      </c>
      <c r="D31" s="18" t="s">
        <v>90</v>
      </c>
      <c r="E31" s="14" t="s">
        <v>16</v>
      </c>
      <c r="F31" s="19">
        <v>3</v>
      </c>
      <c r="G31" s="19">
        <v>0</v>
      </c>
      <c r="H31" s="18" t="s">
        <v>70</v>
      </c>
      <c r="I31" s="14" t="s">
        <v>118</v>
      </c>
    </row>
    <row r="32" spans="1:9" ht="30" hidden="1" customHeight="1" x14ac:dyDescent="0.3">
      <c r="A32" s="18" t="s">
        <v>119</v>
      </c>
      <c r="B32" s="18" t="s">
        <v>45</v>
      </c>
      <c r="C32" s="14" t="s">
        <v>120</v>
      </c>
      <c r="D32" s="18" t="s">
        <v>90</v>
      </c>
      <c r="E32" s="14" t="s">
        <v>16</v>
      </c>
      <c r="F32" s="19">
        <v>2</v>
      </c>
      <c r="G32" s="19">
        <v>0</v>
      </c>
      <c r="H32" s="18" t="s">
        <v>70</v>
      </c>
      <c r="I32" s="14" t="s">
        <v>121</v>
      </c>
    </row>
    <row r="33" spans="1:9" ht="30" hidden="1" customHeight="1" x14ac:dyDescent="0.3">
      <c r="A33" s="18" t="s">
        <v>122</v>
      </c>
      <c r="B33" s="18" t="s">
        <v>47</v>
      </c>
      <c r="C33" s="14" t="s">
        <v>123</v>
      </c>
      <c r="D33" s="18" t="s">
        <v>83</v>
      </c>
      <c r="E33" s="14" t="s">
        <v>22</v>
      </c>
      <c r="F33" s="19">
        <v>3</v>
      </c>
      <c r="G33" s="19">
        <v>0</v>
      </c>
      <c r="H33" s="18" t="s">
        <v>70</v>
      </c>
      <c r="I33" s="14" t="s">
        <v>124</v>
      </c>
    </row>
    <row r="34" spans="1:9" ht="30" hidden="1" customHeight="1" x14ac:dyDescent="0.3">
      <c r="A34" s="18" t="s">
        <v>125</v>
      </c>
      <c r="B34" s="18" t="s">
        <v>47</v>
      </c>
      <c r="C34" s="14" t="s">
        <v>126</v>
      </c>
      <c r="D34" s="18" t="s">
        <v>83</v>
      </c>
      <c r="E34" s="14" t="s">
        <v>22</v>
      </c>
      <c r="F34" s="19">
        <v>1</v>
      </c>
      <c r="G34" s="19">
        <v>0</v>
      </c>
      <c r="H34" s="18" t="s">
        <v>70</v>
      </c>
      <c r="I34" s="14" t="s">
        <v>127</v>
      </c>
    </row>
    <row r="35" spans="1:9" ht="30" hidden="1" customHeight="1" x14ac:dyDescent="0.3">
      <c r="A35" s="18" t="s">
        <v>128</v>
      </c>
      <c r="B35" s="18" t="s">
        <v>47</v>
      </c>
      <c r="C35" s="14" t="s">
        <v>129</v>
      </c>
      <c r="D35" s="18" t="s">
        <v>83</v>
      </c>
      <c r="E35" s="14" t="s">
        <v>22</v>
      </c>
      <c r="F35" s="19">
        <v>1</v>
      </c>
      <c r="G35" s="19">
        <v>0</v>
      </c>
      <c r="H35" s="18" t="s">
        <v>70</v>
      </c>
      <c r="I35" s="14" t="s">
        <v>130</v>
      </c>
    </row>
    <row r="36" spans="1:9" ht="30" hidden="1" customHeight="1" x14ac:dyDescent="0.3">
      <c r="A36" s="18" t="s">
        <v>131</v>
      </c>
      <c r="B36" s="18" t="s">
        <v>39</v>
      </c>
      <c r="C36" s="14" t="s">
        <v>132</v>
      </c>
      <c r="D36" s="18" t="s">
        <v>83</v>
      </c>
      <c r="E36" s="14" t="s">
        <v>22</v>
      </c>
      <c r="F36" s="19">
        <v>2</v>
      </c>
      <c r="G36" s="19">
        <v>0</v>
      </c>
      <c r="H36" s="18" t="s">
        <v>70</v>
      </c>
      <c r="I36" s="14" t="s">
        <v>133</v>
      </c>
    </row>
    <row r="37" spans="1:9" ht="30" hidden="1" customHeight="1" x14ac:dyDescent="0.3">
      <c r="A37" s="18" t="s">
        <v>134</v>
      </c>
      <c r="B37" s="18" t="s">
        <v>39</v>
      </c>
      <c r="C37" s="14" t="s">
        <v>135</v>
      </c>
      <c r="D37" s="18" t="s">
        <v>83</v>
      </c>
      <c r="E37" s="14" t="s">
        <v>22</v>
      </c>
      <c r="F37" s="19">
        <v>1</v>
      </c>
      <c r="G37" s="19">
        <v>0</v>
      </c>
      <c r="H37" s="18" t="s">
        <v>70</v>
      </c>
      <c r="I37" s="14" t="s">
        <v>136</v>
      </c>
    </row>
    <row r="38" spans="1:9" ht="30" hidden="1" customHeight="1" x14ac:dyDescent="0.3">
      <c r="A38" s="18" t="s">
        <v>137</v>
      </c>
      <c r="B38" s="18" t="s">
        <v>36</v>
      </c>
      <c r="C38" s="14" t="s">
        <v>138</v>
      </c>
      <c r="D38" s="18" t="s">
        <v>139</v>
      </c>
      <c r="E38" s="14" t="s">
        <v>19</v>
      </c>
      <c r="F38" s="19">
        <v>3</v>
      </c>
      <c r="G38" s="19">
        <v>3</v>
      </c>
      <c r="H38" s="18" t="s">
        <v>140</v>
      </c>
      <c r="I38" s="14" t="s">
        <v>141</v>
      </c>
    </row>
    <row r="39" spans="1:9" ht="30" hidden="1" customHeight="1" x14ac:dyDescent="0.3">
      <c r="A39" s="18" t="s">
        <v>142</v>
      </c>
      <c r="B39" s="18" t="s">
        <v>36</v>
      </c>
      <c r="C39" s="14" t="s">
        <v>143</v>
      </c>
      <c r="D39" s="18" t="s">
        <v>144</v>
      </c>
      <c r="E39" s="14" t="s">
        <v>19</v>
      </c>
      <c r="F39" s="19">
        <v>3</v>
      </c>
      <c r="G39" s="19">
        <v>2</v>
      </c>
      <c r="H39" s="18" t="s">
        <v>140</v>
      </c>
      <c r="I39" s="14" t="s">
        <v>145</v>
      </c>
    </row>
    <row r="40" spans="1:9" ht="30" hidden="1" customHeight="1" x14ac:dyDescent="0.3">
      <c r="A40" s="18" t="s">
        <v>146</v>
      </c>
      <c r="B40" s="18" t="s">
        <v>39</v>
      </c>
      <c r="C40" s="14" t="s">
        <v>147</v>
      </c>
      <c r="D40" s="18" t="s">
        <v>139</v>
      </c>
      <c r="E40" s="14" t="s">
        <v>19</v>
      </c>
      <c r="F40" s="19">
        <v>2</v>
      </c>
      <c r="G40" s="19">
        <v>6</v>
      </c>
      <c r="H40" s="18" t="s">
        <v>51</v>
      </c>
      <c r="I40" s="14" t="s">
        <v>148</v>
      </c>
    </row>
    <row r="41" spans="1:9" hidden="1" x14ac:dyDescent="0.3">
      <c r="A41" s="24"/>
      <c r="B41" s="24"/>
      <c r="C41" s="24"/>
      <c r="D41" s="24"/>
      <c r="E41" s="24" t="s">
        <v>59</v>
      </c>
      <c r="F41" s="24">
        <f>SUM(F16:F40)</f>
        <v>60</v>
      </c>
      <c r="G41" s="24">
        <f>SUM(G16:G40)</f>
        <v>11</v>
      </c>
      <c r="H41" s="24"/>
      <c r="I41" s="24"/>
    </row>
    <row r="42" spans="1:9" hidden="1" x14ac:dyDescent="0.3"/>
    <row r="43" spans="1:9" x14ac:dyDescent="0.3">
      <c r="A43" s="2"/>
    </row>
  </sheetData>
  <conditionalFormatting sqref="F6:F10">
    <cfRule type="cellIs" dxfId="11" priority="5" operator="equal">
      <formula>"Hecho"</formula>
    </cfRule>
    <cfRule type="cellIs" dxfId="10" priority="6" operator="equal">
      <formula>"En progreso"</formula>
    </cfRule>
    <cfRule type="cellIs" dxfId="9" priority="7" operator="equal">
      <formula>"Pendiente"</formula>
    </cfRule>
  </conditionalFormatting>
  <conditionalFormatting sqref="H16:H40">
    <cfRule type="cellIs" dxfId="8" priority="2" operator="equal">
      <formula>"Hecho"</formula>
    </cfRule>
    <cfRule type="cellIs" dxfId="7" priority="3" operator="equal">
      <formula>"En progreso"</formula>
    </cfRule>
    <cfRule type="cellIs" dxfId="6" priority="4" operator="equal">
      <formula>"Pendiente"</formula>
    </cfRule>
  </conditionalFormatting>
  <dataValidations count="1">
    <dataValidation type="list" sqref="H16:H40" xr:uid="{00000000-0002-0000-0200-000000000000}">
      <formula1>"Pendiente,En progreso,Hecho"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showGridLines="0" tabSelected="1" zoomScaleNormal="100" workbookViewId="0">
      <pane ySplit="5" topLeftCell="A13" activePane="bottomLeft" state="frozen"/>
      <selection activeCell="C22" sqref="C22"/>
      <selection pane="bottomLeft" activeCell="H38" sqref="H38"/>
    </sheetView>
  </sheetViews>
  <sheetFormatPr baseColWidth="10" defaultColWidth="8.6640625" defaultRowHeight="14.4" x14ac:dyDescent="0.3"/>
  <cols>
    <col min="1" max="1" width="7.5546875" customWidth="1"/>
    <col min="2" max="2" width="9.109375" customWidth="1"/>
    <col min="3" max="3" width="37.5546875" customWidth="1"/>
    <col min="4" max="4" width="15" customWidth="1"/>
    <col min="5" max="5" width="30" style="25" customWidth="1"/>
    <col min="6" max="6" width="11.88671875" customWidth="1"/>
    <col min="7" max="7" width="10.44140625" customWidth="1"/>
    <col min="8" max="8" width="12.109375" customWidth="1"/>
    <col min="9" max="9" width="43.21875" customWidth="1"/>
  </cols>
  <sheetData>
    <row r="1" spans="1:9" hidden="1" x14ac:dyDescent="0.3"/>
    <row r="2" spans="1:9" hidden="1" x14ac:dyDescent="0.3"/>
    <row r="4" spans="1:9" ht="17.25" customHeight="1" x14ac:dyDescent="0.3">
      <c r="A4" s="21"/>
      <c r="E4" s="20" t="s">
        <v>58</v>
      </c>
    </row>
    <row r="5" spans="1:9" ht="26.25" hidden="1" customHeight="1" x14ac:dyDescent="0.3">
      <c r="A5" s="23" t="s">
        <v>29</v>
      </c>
      <c r="B5" s="23" t="s">
        <v>30</v>
      </c>
      <c r="C5" s="23" t="s">
        <v>33</v>
      </c>
      <c r="D5" s="23" t="s">
        <v>25</v>
      </c>
      <c r="E5" s="23" t="s">
        <v>26</v>
      </c>
      <c r="F5" s="23" t="s">
        <v>34</v>
      </c>
    </row>
    <row r="6" spans="1:9" ht="39.75" hidden="1" customHeight="1" x14ac:dyDescent="0.3">
      <c r="A6" s="18" t="s">
        <v>36</v>
      </c>
      <c r="B6" s="14" t="str">
        <f>INDEX('Product Backlog'!$B$5:$B$13,MATCH(A6,'Product Backlog'!$A$5:$A$13,0))</f>
        <v>Como pasajero quiero registrarme con nombre, correo y contraseña para tener una cuenta en BusTracka.</v>
      </c>
      <c r="C6" s="18">
        <f>INDEX('Product Backlog'!$E$5:$E$13,MATCH(A6,'Product Backlog'!$A$5:$A$13,0))</f>
        <v>5</v>
      </c>
      <c r="D6" s="18">
        <f>SUMIFS($F$16:$F$40,$B$16:$B$40,A6)</f>
        <v>22</v>
      </c>
      <c r="E6" s="18">
        <f>SUMIFS($G$16:$G$40,$B$16:$B$40,A6)</f>
        <v>5</v>
      </c>
      <c r="F6" s="18" t="str">
        <f>IF(COUNTIFS($B$16:$B$40,A6,$H$16:$H$40,"&lt;&gt;Hecho")=0,"Hecho",IF(COUNTIFS($B$16:$B$40,A6,$H$16:$H$40,"Hecho")=0,"Pendiente","En progreso"))</f>
        <v>En progreso</v>
      </c>
    </row>
    <row r="7" spans="1:9" ht="39.75" hidden="1" customHeight="1" x14ac:dyDescent="0.3">
      <c r="A7" s="18" t="s">
        <v>39</v>
      </c>
      <c r="B7" s="14" t="str">
        <f>INDEX('Product Backlog'!$B$5:$B$13,MATCH(A7,'Product Backlog'!$A$5:$A$13,0))</f>
        <v>Como usuario quiero iniciar sesión con mi correo y contraseña para acceder al sistema.</v>
      </c>
      <c r="C7" s="18">
        <f>INDEX('Product Backlog'!$E$5:$E$13,MATCH(A7,'Product Backlog'!$A$5:$A$13,0))</f>
        <v>5</v>
      </c>
      <c r="D7" s="18">
        <f>SUMIFS($F$16:$F$40,$B$16:$B$40,A7)</f>
        <v>17</v>
      </c>
      <c r="E7" s="18">
        <f>SUMIFS($G$16:$G$40,$B$16:$B$40,A7)</f>
        <v>6</v>
      </c>
      <c r="F7" s="18" t="str">
        <f>IF(COUNTIFS($B$16:$B$40,A7,$H$16:$H$40,"&lt;&gt;Hecho")=0,"Hecho",IF(COUNTIFS($B$16:$B$40,A7,$H$16:$H$40,"Hecho")=0,"Pendiente","En progreso"))</f>
        <v>En progreso</v>
      </c>
    </row>
    <row r="8" spans="1:9" ht="39.75" hidden="1" customHeight="1" x14ac:dyDescent="0.3">
      <c r="A8" s="18" t="s">
        <v>42</v>
      </c>
      <c r="B8" s="14" t="str">
        <f>INDEX('Product Backlog'!$B$5:$B$13,MATCH(A8,'Product Backlog'!$A$5:$A$13,0))</f>
        <v>Como usuario quiero recuperar mi contraseña mediante un enlace para volver a entrar si la olvido.</v>
      </c>
      <c r="C8" s="18">
        <f>INDEX('Product Backlog'!$E$5:$E$13,MATCH(A8,'Product Backlog'!$A$5:$A$13,0))</f>
        <v>8</v>
      </c>
      <c r="D8" s="18">
        <f>SUMIFS($F$16:$F$40,$B$16:$B$40,A8)</f>
        <v>11</v>
      </c>
      <c r="E8" s="18">
        <f>SUMIFS($G$16:$G$40,$B$16:$B$40,A8)</f>
        <v>0</v>
      </c>
      <c r="F8" s="18" t="str">
        <f>IF(COUNTIFS($B$16:$B$40,A8,$H$16:$H$40,"&lt;&gt;Hecho")=0,"Hecho",IF(COUNTIFS($B$16:$B$40,A8,$H$16:$H$40,"Hecho")=0,"Pendiente","En progreso"))</f>
        <v>Hecho</v>
      </c>
    </row>
    <row r="9" spans="1:9" ht="39.75" hidden="1" customHeight="1" x14ac:dyDescent="0.3">
      <c r="A9" s="18" t="s">
        <v>45</v>
      </c>
      <c r="B9" s="14" t="str">
        <f>INDEX('Product Backlog'!$B$5:$B$13,MATCH(A9,'Product Backlog'!$A$5:$A$13,0))</f>
        <v>Como usuario quiero cerrar sesión para proteger mi cuenta en un equipo compartido.</v>
      </c>
      <c r="C9" s="18">
        <f>INDEX('Product Backlog'!$E$5:$E$13,MATCH(A9,'Product Backlog'!$A$5:$A$13,0))</f>
        <v>3</v>
      </c>
      <c r="D9" s="18">
        <f>SUMIFS($F$16:$F$40,$B$16:$B$40,A9)</f>
        <v>5</v>
      </c>
      <c r="E9" s="18">
        <f>SUMIFS($G$16:$G$40,$B$16:$B$40,A9)</f>
        <v>0</v>
      </c>
      <c r="F9" s="18" t="str">
        <f>IF(COUNTIFS($B$16:$B$40,A9,$H$16:$H$40,"&lt;&gt;Hecho")=0,"Hecho",IF(COUNTIFS($B$16:$B$40,A9,$H$16:$H$40,"Hecho")=0,"Pendiente","En progreso"))</f>
        <v>Hecho</v>
      </c>
    </row>
    <row r="10" spans="1:9" ht="39.75" hidden="1" customHeight="1" x14ac:dyDescent="0.3">
      <c r="A10" s="18" t="s">
        <v>47</v>
      </c>
      <c r="B10" s="14" t="str">
        <f>INDEX('Product Backlog'!$B$5:$B$13,MATCH(A10,'Product Backlog'!$A$5:$A$13,0))</f>
        <v>Como usuario quiero que mi sesión se mantenga al refrescar la pagina para no iniciar sesión de nuevo.</v>
      </c>
      <c r="C10" s="18">
        <f>INDEX('Product Backlog'!$E$5:$E$13,MATCH(A10,'Product Backlog'!$A$5:$A$13,0))</f>
        <v>3</v>
      </c>
      <c r="D10" s="18">
        <f>SUMIFS($F$16:$F$40,$B$16:$B$40,A10)</f>
        <v>5</v>
      </c>
      <c r="E10" s="18">
        <f>SUMIFS($G$16:$G$40,$B$16:$B$40,A10)</f>
        <v>0</v>
      </c>
      <c r="F10" s="18" t="str">
        <f>IF(COUNTIFS($B$16:$B$40,A10,$H$16:$H$40,"&lt;&gt;Hecho")=0,"Hecho",IF(COUNTIFS($B$16:$B$40,A10,$H$16:$H$40,"Hecho")=0,"Pendiente","En progreso"))</f>
        <v>Hecho</v>
      </c>
    </row>
    <row r="11" spans="1:9" hidden="1" x14ac:dyDescent="0.3">
      <c r="A11" s="24" t="s">
        <v>59</v>
      </c>
      <c r="B11" s="24"/>
      <c r="C11" s="24">
        <f>SUM(C6:C10)</f>
        <v>24</v>
      </c>
      <c r="D11" s="24">
        <f>SUM(D6:D10)</f>
        <v>60</v>
      </c>
      <c r="E11" s="24">
        <f>SUM(E6:E10)</f>
        <v>11</v>
      </c>
      <c r="F11" s="24"/>
    </row>
    <row r="12" spans="1:9" hidden="1" x14ac:dyDescent="0.3"/>
    <row r="14" spans="1:9" x14ac:dyDescent="0.3">
      <c r="A14" s="26" t="s">
        <v>149</v>
      </c>
    </row>
    <row r="15" spans="1:9" ht="28.5" customHeight="1" x14ac:dyDescent="0.3">
      <c r="A15" s="11" t="s">
        <v>60</v>
      </c>
      <c r="B15" s="11" t="s">
        <v>61</v>
      </c>
      <c r="C15" s="11" t="s">
        <v>62</v>
      </c>
      <c r="D15" s="11" t="s">
        <v>63</v>
      </c>
      <c r="E15" s="11" t="s">
        <v>64</v>
      </c>
      <c r="F15" s="11" t="s">
        <v>65</v>
      </c>
      <c r="G15" s="11" t="s">
        <v>26</v>
      </c>
      <c r="H15" s="11" t="s">
        <v>34</v>
      </c>
      <c r="I15" s="11" t="s">
        <v>150</v>
      </c>
    </row>
    <row r="16" spans="1:9" ht="30" customHeight="1" x14ac:dyDescent="0.3">
      <c r="A16" s="18" t="s">
        <v>67</v>
      </c>
      <c r="B16" s="18" t="s">
        <v>36</v>
      </c>
      <c r="C16" s="14" t="s">
        <v>151</v>
      </c>
      <c r="D16" s="18" t="s">
        <v>69</v>
      </c>
      <c r="E16" s="18" t="s">
        <v>13</v>
      </c>
      <c r="F16" s="19">
        <v>1</v>
      </c>
      <c r="G16" s="19">
        <v>0</v>
      </c>
      <c r="H16" s="18" t="s">
        <v>70</v>
      </c>
      <c r="I16" s="14" t="s">
        <v>71</v>
      </c>
    </row>
    <row r="17" spans="1:9" ht="30" customHeight="1" x14ac:dyDescent="0.3">
      <c r="A17" s="18" t="s">
        <v>72</v>
      </c>
      <c r="B17" s="18" t="s">
        <v>36</v>
      </c>
      <c r="C17" s="14" t="s">
        <v>73</v>
      </c>
      <c r="D17" s="18" t="s">
        <v>69</v>
      </c>
      <c r="E17" s="18" t="s">
        <v>13</v>
      </c>
      <c r="F17" s="19">
        <v>1</v>
      </c>
      <c r="G17" s="19">
        <v>0</v>
      </c>
      <c r="H17" s="18" t="s">
        <v>70</v>
      </c>
      <c r="I17" s="14" t="s">
        <v>74</v>
      </c>
    </row>
    <row r="18" spans="1:9" ht="30" customHeight="1" x14ac:dyDescent="0.3">
      <c r="A18" s="18" t="s">
        <v>75</v>
      </c>
      <c r="B18" s="18" t="s">
        <v>36</v>
      </c>
      <c r="C18" s="14" t="s">
        <v>76</v>
      </c>
      <c r="D18" s="18" t="s">
        <v>69</v>
      </c>
      <c r="E18" s="18" t="s">
        <v>13</v>
      </c>
      <c r="F18" s="19">
        <v>2</v>
      </c>
      <c r="G18" s="19">
        <v>0</v>
      </c>
      <c r="H18" s="18" t="s">
        <v>70</v>
      </c>
      <c r="I18" s="14" t="s">
        <v>77</v>
      </c>
    </row>
    <row r="19" spans="1:9" ht="30" customHeight="1" x14ac:dyDescent="0.3">
      <c r="A19" s="18" t="s">
        <v>78</v>
      </c>
      <c r="B19" s="18" t="s">
        <v>36</v>
      </c>
      <c r="C19" s="14" t="s">
        <v>79</v>
      </c>
      <c r="D19" s="18" t="s">
        <v>69</v>
      </c>
      <c r="E19" s="18" t="s">
        <v>13</v>
      </c>
      <c r="F19" s="19">
        <v>2</v>
      </c>
      <c r="G19" s="19">
        <v>0</v>
      </c>
      <c r="H19" s="18" t="s">
        <v>70</v>
      </c>
      <c r="I19" s="14" t="s">
        <v>80</v>
      </c>
    </row>
    <row r="20" spans="1:9" ht="30" customHeight="1" x14ac:dyDescent="0.3">
      <c r="A20" s="18" t="s">
        <v>81</v>
      </c>
      <c r="B20" s="18" t="s">
        <v>36</v>
      </c>
      <c r="C20" s="14" t="s">
        <v>82</v>
      </c>
      <c r="D20" s="18" t="s">
        <v>83</v>
      </c>
      <c r="E20" s="18" t="s">
        <v>22</v>
      </c>
      <c r="F20" s="19">
        <v>3</v>
      </c>
      <c r="G20" s="19">
        <v>0</v>
      </c>
      <c r="H20" s="18" t="s">
        <v>70</v>
      </c>
      <c r="I20" s="14" t="s">
        <v>84</v>
      </c>
    </row>
    <row r="21" spans="1:9" ht="30" customHeight="1" x14ac:dyDescent="0.3">
      <c r="A21" s="18" t="s">
        <v>85</v>
      </c>
      <c r="B21" s="18" t="s">
        <v>36</v>
      </c>
      <c r="C21" s="14" t="s">
        <v>86</v>
      </c>
      <c r="D21" s="18" t="s">
        <v>83</v>
      </c>
      <c r="E21" s="18" t="s">
        <v>22</v>
      </c>
      <c r="F21" s="19">
        <v>3</v>
      </c>
      <c r="G21" s="19">
        <v>0</v>
      </c>
      <c r="H21" s="18" t="s">
        <v>70</v>
      </c>
      <c r="I21" s="14" t="s">
        <v>87</v>
      </c>
    </row>
    <row r="22" spans="1:9" ht="30" customHeight="1" x14ac:dyDescent="0.3">
      <c r="A22" s="18" t="s">
        <v>88</v>
      </c>
      <c r="B22" s="18" t="s">
        <v>36</v>
      </c>
      <c r="C22" s="14" t="s">
        <v>89</v>
      </c>
      <c r="D22" s="18" t="s">
        <v>90</v>
      </c>
      <c r="E22" s="18" t="s">
        <v>16</v>
      </c>
      <c r="F22" s="19">
        <v>4</v>
      </c>
      <c r="G22" s="19">
        <v>0</v>
      </c>
      <c r="H22" s="18" t="s">
        <v>70</v>
      </c>
      <c r="I22" s="14" t="s">
        <v>91</v>
      </c>
    </row>
    <row r="23" spans="1:9" ht="30" customHeight="1" x14ac:dyDescent="0.3">
      <c r="A23" s="18" t="s">
        <v>92</v>
      </c>
      <c r="B23" s="18" t="s">
        <v>39</v>
      </c>
      <c r="C23" s="14" t="s">
        <v>152</v>
      </c>
      <c r="D23" s="18" t="s">
        <v>83</v>
      </c>
      <c r="E23" s="18" t="s">
        <v>22</v>
      </c>
      <c r="F23" s="19">
        <v>3</v>
      </c>
      <c r="G23" s="19">
        <v>0</v>
      </c>
      <c r="H23" s="18" t="s">
        <v>70</v>
      </c>
      <c r="I23" s="14" t="s">
        <v>94</v>
      </c>
    </row>
    <row r="24" spans="1:9" ht="30" customHeight="1" x14ac:dyDescent="0.3">
      <c r="A24" s="18" t="s">
        <v>95</v>
      </c>
      <c r="B24" s="18" t="s">
        <v>39</v>
      </c>
      <c r="C24" s="14" t="s">
        <v>153</v>
      </c>
      <c r="D24" s="18" t="s">
        <v>83</v>
      </c>
      <c r="E24" s="18" t="s">
        <v>22</v>
      </c>
      <c r="F24" s="19">
        <v>2</v>
      </c>
      <c r="G24" s="19">
        <v>0</v>
      </c>
      <c r="H24" s="18" t="s">
        <v>70</v>
      </c>
      <c r="I24" s="14" t="s">
        <v>97</v>
      </c>
    </row>
    <row r="25" spans="1:9" ht="30" customHeight="1" x14ac:dyDescent="0.3">
      <c r="A25" s="18" t="s">
        <v>98</v>
      </c>
      <c r="B25" s="18" t="s">
        <v>39</v>
      </c>
      <c r="C25" s="14" t="s">
        <v>99</v>
      </c>
      <c r="D25" s="18" t="s">
        <v>83</v>
      </c>
      <c r="E25" s="18" t="s">
        <v>22</v>
      </c>
      <c r="F25" s="19">
        <v>1</v>
      </c>
      <c r="G25" s="19">
        <v>0</v>
      </c>
      <c r="H25" s="18" t="s">
        <v>70</v>
      </c>
      <c r="I25" s="14" t="s">
        <v>100</v>
      </c>
    </row>
    <row r="26" spans="1:9" ht="30" customHeight="1" x14ac:dyDescent="0.3">
      <c r="A26" s="18" t="s">
        <v>101</v>
      </c>
      <c r="B26" s="18" t="s">
        <v>39</v>
      </c>
      <c r="C26" s="14" t="s">
        <v>102</v>
      </c>
      <c r="D26" s="18" t="s">
        <v>90</v>
      </c>
      <c r="E26" s="18" t="s">
        <v>16</v>
      </c>
      <c r="F26" s="19">
        <v>3</v>
      </c>
      <c r="G26" s="19">
        <v>0</v>
      </c>
      <c r="H26" s="18" t="s">
        <v>70</v>
      </c>
      <c r="I26" s="14" t="s">
        <v>103</v>
      </c>
    </row>
    <row r="27" spans="1:9" ht="30" customHeight="1" x14ac:dyDescent="0.3">
      <c r="A27" s="18" t="s">
        <v>104</v>
      </c>
      <c r="B27" s="18" t="s">
        <v>39</v>
      </c>
      <c r="C27" s="14" t="s">
        <v>105</v>
      </c>
      <c r="D27" s="18" t="s">
        <v>90</v>
      </c>
      <c r="E27" s="18" t="s">
        <v>16</v>
      </c>
      <c r="F27" s="19">
        <v>3</v>
      </c>
      <c r="G27" s="19">
        <v>0</v>
      </c>
      <c r="H27" s="18" t="s">
        <v>70</v>
      </c>
      <c r="I27" s="14" t="s">
        <v>106</v>
      </c>
    </row>
    <row r="28" spans="1:9" ht="30" customHeight="1" x14ac:dyDescent="0.3">
      <c r="A28" s="18" t="s">
        <v>107</v>
      </c>
      <c r="B28" s="18" t="s">
        <v>42</v>
      </c>
      <c r="C28" s="14" t="s">
        <v>154</v>
      </c>
      <c r="D28" s="18" t="s">
        <v>83</v>
      </c>
      <c r="E28" s="18" t="s">
        <v>22</v>
      </c>
      <c r="F28" s="19">
        <v>4</v>
      </c>
      <c r="G28" s="19">
        <v>0</v>
      </c>
      <c r="H28" s="18" t="s">
        <v>70</v>
      </c>
      <c r="I28" s="14" t="s">
        <v>109</v>
      </c>
    </row>
    <row r="29" spans="1:9" ht="30" customHeight="1" x14ac:dyDescent="0.3">
      <c r="A29" s="18" t="s">
        <v>110</v>
      </c>
      <c r="B29" s="18" t="s">
        <v>42</v>
      </c>
      <c r="C29" s="14" t="s">
        <v>111</v>
      </c>
      <c r="D29" s="18" t="s">
        <v>83</v>
      </c>
      <c r="E29" s="18" t="s">
        <v>22</v>
      </c>
      <c r="F29" s="19">
        <v>3</v>
      </c>
      <c r="G29" s="19">
        <v>0</v>
      </c>
      <c r="H29" s="18" t="s">
        <v>70</v>
      </c>
      <c r="I29" s="14" t="s">
        <v>112</v>
      </c>
    </row>
    <row r="30" spans="1:9" ht="30" customHeight="1" x14ac:dyDescent="0.3">
      <c r="A30" s="18" t="s">
        <v>113</v>
      </c>
      <c r="B30" s="18" t="s">
        <v>42</v>
      </c>
      <c r="C30" s="14" t="s">
        <v>155</v>
      </c>
      <c r="D30" s="18" t="s">
        <v>90</v>
      </c>
      <c r="E30" s="18" t="s">
        <v>16</v>
      </c>
      <c r="F30" s="19">
        <v>4</v>
      </c>
      <c r="G30" s="19">
        <v>0</v>
      </c>
      <c r="H30" s="18" t="s">
        <v>70</v>
      </c>
      <c r="I30" s="14" t="s">
        <v>115</v>
      </c>
    </row>
    <row r="31" spans="1:9" ht="30" customHeight="1" x14ac:dyDescent="0.3">
      <c r="A31" s="18" t="s">
        <v>116</v>
      </c>
      <c r="B31" s="18" t="s">
        <v>45</v>
      </c>
      <c r="C31" s="14" t="s">
        <v>117</v>
      </c>
      <c r="D31" s="18" t="s">
        <v>90</v>
      </c>
      <c r="E31" s="18" t="s">
        <v>16</v>
      </c>
      <c r="F31" s="19">
        <v>3</v>
      </c>
      <c r="G31" s="19">
        <v>0</v>
      </c>
      <c r="H31" s="18" t="s">
        <v>70</v>
      </c>
      <c r="I31" s="14" t="s">
        <v>118</v>
      </c>
    </row>
    <row r="32" spans="1:9" ht="30" customHeight="1" x14ac:dyDescent="0.3">
      <c r="A32" s="18" t="s">
        <v>119</v>
      </c>
      <c r="B32" s="18" t="s">
        <v>45</v>
      </c>
      <c r="C32" s="14" t="s">
        <v>120</v>
      </c>
      <c r="D32" s="18" t="s">
        <v>90</v>
      </c>
      <c r="E32" s="18" t="s">
        <v>16</v>
      </c>
      <c r="F32" s="19">
        <v>2</v>
      </c>
      <c r="G32" s="19">
        <v>0</v>
      </c>
      <c r="H32" s="18" t="s">
        <v>70</v>
      </c>
      <c r="I32" s="14" t="s">
        <v>121</v>
      </c>
    </row>
    <row r="33" spans="1:9" ht="30" customHeight="1" x14ac:dyDescent="0.3">
      <c r="A33" s="18" t="s">
        <v>122</v>
      </c>
      <c r="B33" s="18" t="s">
        <v>47</v>
      </c>
      <c r="C33" s="14" t="s">
        <v>123</v>
      </c>
      <c r="D33" s="18" t="s">
        <v>83</v>
      </c>
      <c r="E33" s="18" t="s">
        <v>22</v>
      </c>
      <c r="F33" s="19">
        <v>3</v>
      </c>
      <c r="G33" s="19">
        <v>0</v>
      </c>
      <c r="H33" s="18" t="s">
        <v>70</v>
      </c>
      <c r="I33" s="14" t="s">
        <v>124</v>
      </c>
    </row>
    <row r="34" spans="1:9" ht="30" customHeight="1" x14ac:dyDescent="0.3">
      <c r="A34" s="18" t="s">
        <v>125</v>
      </c>
      <c r="B34" s="18" t="s">
        <v>47</v>
      </c>
      <c r="C34" s="14" t="s">
        <v>126</v>
      </c>
      <c r="D34" s="18" t="s">
        <v>83</v>
      </c>
      <c r="E34" s="18" t="s">
        <v>22</v>
      </c>
      <c r="F34" s="19">
        <v>1</v>
      </c>
      <c r="G34" s="19">
        <v>0</v>
      </c>
      <c r="H34" s="18" t="s">
        <v>70</v>
      </c>
      <c r="I34" s="14" t="s">
        <v>127</v>
      </c>
    </row>
    <row r="35" spans="1:9" ht="30" customHeight="1" x14ac:dyDescent="0.3">
      <c r="A35" s="18" t="s">
        <v>128</v>
      </c>
      <c r="B35" s="18" t="s">
        <v>47</v>
      </c>
      <c r="C35" s="14" t="s">
        <v>156</v>
      </c>
      <c r="D35" s="18" t="s">
        <v>83</v>
      </c>
      <c r="E35" s="18" t="s">
        <v>22</v>
      </c>
      <c r="F35" s="19">
        <v>1</v>
      </c>
      <c r="G35" s="19">
        <v>0</v>
      </c>
      <c r="H35" s="18" t="s">
        <v>70</v>
      </c>
      <c r="I35" s="14" t="s">
        <v>130</v>
      </c>
    </row>
    <row r="36" spans="1:9" ht="30" customHeight="1" x14ac:dyDescent="0.3">
      <c r="A36" s="18" t="s">
        <v>131</v>
      </c>
      <c r="B36" s="18" t="s">
        <v>39</v>
      </c>
      <c r="C36" s="14" t="s">
        <v>132</v>
      </c>
      <c r="D36" s="18" t="s">
        <v>83</v>
      </c>
      <c r="E36" s="18" t="s">
        <v>22</v>
      </c>
      <c r="F36" s="19">
        <v>2</v>
      </c>
      <c r="G36" s="19">
        <v>0</v>
      </c>
      <c r="H36" s="18" t="s">
        <v>70</v>
      </c>
      <c r="I36" s="14" t="s">
        <v>133</v>
      </c>
    </row>
    <row r="37" spans="1:9" ht="30" customHeight="1" x14ac:dyDescent="0.3">
      <c r="A37" s="18" t="s">
        <v>134</v>
      </c>
      <c r="B37" s="18" t="s">
        <v>39</v>
      </c>
      <c r="C37" s="14" t="s">
        <v>157</v>
      </c>
      <c r="D37" s="18" t="s">
        <v>83</v>
      </c>
      <c r="E37" s="18" t="s">
        <v>22</v>
      </c>
      <c r="F37" s="19">
        <v>1</v>
      </c>
      <c r="G37" s="19">
        <v>0</v>
      </c>
      <c r="H37" s="18" t="s">
        <v>70</v>
      </c>
      <c r="I37" s="14" t="s">
        <v>136</v>
      </c>
    </row>
    <row r="38" spans="1:9" ht="30" customHeight="1" x14ac:dyDescent="0.3">
      <c r="A38" s="18" t="s">
        <v>137</v>
      </c>
      <c r="B38" s="18" t="s">
        <v>36</v>
      </c>
      <c r="C38" s="14" t="s">
        <v>138</v>
      </c>
      <c r="D38" s="18" t="s">
        <v>139</v>
      </c>
      <c r="E38" s="18" t="s">
        <v>19</v>
      </c>
      <c r="F38" s="19">
        <v>3</v>
      </c>
      <c r="G38" s="19">
        <v>3</v>
      </c>
      <c r="H38" s="18" t="s">
        <v>140</v>
      </c>
      <c r="I38" s="14"/>
    </row>
    <row r="39" spans="1:9" ht="30" customHeight="1" x14ac:dyDescent="0.3">
      <c r="A39" s="18" t="s">
        <v>142</v>
      </c>
      <c r="B39" s="18" t="s">
        <v>36</v>
      </c>
      <c r="C39" s="14" t="s">
        <v>158</v>
      </c>
      <c r="D39" s="18" t="s">
        <v>144</v>
      </c>
      <c r="E39" s="18" t="s">
        <v>19</v>
      </c>
      <c r="F39" s="19">
        <v>3</v>
      </c>
      <c r="G39" s="19">
        <v>2</v>
      </c>
      <c r="H39" s="18" t="s">
        <v>140</v>
      </c>
      <c r="I39" s="14"/>
    </row>
    <row r="40" spans="1:9" ht="30" customHeight="1" x14ac:dyDescent="0.3">
      <c r="A40" s="18" t="s">
        <v>146</v>
      </c>
      <c r="B40" s="18" t="s">
        <v>39</v>
      </c>
      <c r="C40" s="14" t="s">
        <v>159</v>
      </c>
      <c r="D40" s="18" t="s">
        <v>139</v>
      </c>
      <c r="E40" s="18" t="s">
        <v>19</v>
      </c>
      <c r="F40" s="19">
        <v>2</v>
      </c>
      <c r="G40" s="19">
        <v>6</v>
      </c>
      <c r="H40" s="18" t="s">
        <v>51</v>
      </c>
      <c r="I40" s="14"/>
    </row>
    <row r="41" spans="1:9" x14ac:dyDescent="0.3">
      <c r="A41" s="24"/>
      <c r="B41" s="24"/>
      <c r="C41" s="24"/>
      <c r="D41" s="24"/>
      <c r="E41" s="24" t="s">
        <v>59</v>
      </c>
      <c r="F41" s="24">
        <f>SUM(F16:F40)</f>
        <v>60</v>
      </c>
      <c r="G41" s="24">
        <f>SUM(G16:G40)</f>
        <v>11</v>
      </c>
      <c r="H41" s="24"/>
      <c r="I41" s="24"/>
    </row>
    <row r="43" spans="1:9" x14ac:dyDescent="0.3">
      <c r="A43" s="2"/>
    </row>
  </sheetData>
  <conditionalFormatting sqref="F6:F10">
    <cfRule type="cellIs" dxfId="5" priority="5" operator="equal">
      <formula>"Hecho"</formula>
    </cfRule>
    <cfRule type="cellIs" dxfId="4" priority="6" operator="equal">
      <formula>"En progreso"</formula>
    </cfRule>
    <cfRule type="cellIs" dxfId="3" priority="7" operator="equal">
      <formula>"Pendiente"</formula>
    </cfRule>
  </conditionalFormatting>
  <conditionalFormatting sqref="H16:H40">
    <cfRule type="cellIs" dxfId="2" priority="2" operator="equal">
      <formula>"Hecho"</formula>
    </cfRule>
    <cfRule type="cellIs" dxfId="1" priority="3" operator="equal">
      <formula>"En progreso"</formula>
    </cfRule>
    <cfRule type="cellIs" dxfId="0" priority="4" operator="equal">
      <formula>"Pendiente"</formula>
    </cfRule>
  </conditionalFormatting>
  <dataValidations count="1">
    <dataValidation type="list" sqref="H16:H40" xr:uid="{00000000-0002-0000-0300-000000000000}">
      <formula1>"Pendiente,En progreso,Hecho"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 Backlog</vt:lpstr>
      <vt:lpstr>Sprint Goal</vt:lpstr>
      <vt:lpstr>Sprint Backlog</vt:lpstr>
      <vt:lpstr>Sprint Backlog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Vilela R.</cp:lastModifiedBy>
  <cp:revision>1</cp:revision>
  <dcterms:created xsi:type="dcterms:W3CDTF">2026-09-21T03:39:32Z</dcterms:created>
  <dcterms:modified xsi:type="dcterms:W3CDTF">2026-10-05T15:54:49Z</dcterms:modified>
  <dc:language>en-US</dc:language>
</cp:coreProperties>
</file>